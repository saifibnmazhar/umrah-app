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GA\Office Files &amp; Docs\Sales Reports\"/>
    </mc:Choice>
  </mc:AlternateContent>
  <xr:revisionPtr revIDLastSave="0" documentId="13_ncr:1_{10D8DEDE-95C5-421B-BA13-6191C65928AD}" xr6:coauthVersionLast="47" xr6:coauthVersionMax="47" xr10:uidLastSave="{00000000-0000-0000-0000-000000000000}"/>
  <bookViews>
    <workbookView xWindow="-120" yWindow="-120" windowWidth="29040" windowHeight="15720" xr2:uid="{53002F37-EDC0-47BB-954E-C211DE861B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1" l="1"/>
  <c r="I12" i="1"/>
  <c r="I14" i="1"/>
  <c r="I8" i="1"/>
  <c r="M6" i="1"/>
  <c r="M8" i="1" s="1"/>
  <c r="M10" i="1" s="1"/>
  <c r="M12" i="1" s="1"/>
  <c r="M14" i="1" s="1"/>
  <c r="M16" i="1" s="1"/>
  <c r="M18" i="1" s="1"/>
  <c r="I6" i="1"/>
</calcChain>
</file>

<file path=xl/sharedStrings.xml><?xml version="1.0" encoding="utf-8"?>
<sst xmlns="http://schemas.openxmlformats.org/spreadsheetml/2006/main" count="134" uniqueCount="75">
  <si>
    <t>Issue Date</t>
  </si>
  <si>
    <t>Ticket No</t>
  </si>
  <si>
    <t>Customer Name</t>
  </si>
  <si>
    <t>Sector</t>
  </si>
  <si>
    <t>Flight Date</t>
  </si>
  <si>
    <t>Return Date</t>
  </si>
  <si>
    <t>Customer
Amount</t>
  </si>
  <si>
    <t>MARKUP</t>
  </si>
  <si>
    <t>IATA Agent</t>
  </si>
  <si>
    <t>Invoice No</t>
  </si>
  <si>
    <t>PAX Name</t>
  </si>
  <si>
    <t>Carrier | Class | Pay</t>
  </si>
  <si>
    <t>Category</t>
  </si>
  <si>
    <t>PNR</t>
  </si>
  <si>
    <t>Passport</t>
  </si>
  <si>
    <t>Ticket Staff</t>
  </si>
  <si>
    <t>Ticket</t>
  </si>
  <si>
    <t>779-9461466422</t>
  </si>
  <si>
    <t>INV #04499</t>
  </si>
  <si>
    <t>ISLAM/MD ROBIUL MR</t>
  </si>
  <si>
    <t>Md Kamal</t>
  </si>
  <si>
    <t>JJUKMH</t>
  </si>
  <si>
    <t>A1234567</t>
  </si>
  <si>
    <t>RUH-DAC</t>
  </si>
  <si>
    <t>BS | Eco | Cash</t>
  </si>
  <si>
    <t>-</t>
  </si>
  <si>
    <t>Agent Fare (Net)</t>
  </si>
  <si>
    <t>SAR</t>
  </si>
  <si>
    <t>Balance
Agent</t>
  </si>
  <si>
    <t>FLYBURJ</t>
  </si>
  <si>
    <t>Shahadat</t>
  </si>
  <si>
    <t>779-9461466423</t>
  </si>
  <si>
    <t>MASUM/EMAROT HOSSAIN MR</t>
  </si>
  <si>
    <t>A4567894</t>
  </si>
  <si>
    <t>Customer Refund</t>
  </si>
  <si>
    <t>IATA Refund</t>
  </si>
  <si>
    <t>Payment to IATA</t>
  </si>
  <si>
    <t>Payment</t>
  </si>
  <si>
    <t>PYMNT #0325</t>
  </si>
  <si>
    <t>779-9461466413</t>
  </si>
  <si>
    <t>INV #04500</t>
  </si>
  <si>
    <t>Rifat Hossain</t>
  </si>
  <si>
    <t>AKTER/YEASMIN MS</t>
  </si>
  <si>
    <t>779-9461466414</t>
  </si>
  <si>
    <t>BEGUM/RAJIYA MRS</t>
  </si>
  <si>
    <t>MKLPTC</t>
  </si>
  <si>
    <t>A1969584</t>
  </si>
  <si>
    <t>A5263475</t>
  </si>
  <si>
    <t>JED-DAC</t>
  </si>
  <si>
    <t>DAC-JED-DAC</t>
  </si>
  <si>
    <t>Refund</t>
  </si>
  <si>
    <t>PYMNT #0326</t>
  </si>
  <si>
    <t>SEARCH BOX</t>
  </si>
  <si>
    <t>PNR/TICKET NUM/PASSPORT/INVOICE</t>
  </si>
  <si>
    <t>Filter Agents</t>
  </si>
  <si>
    <t>Filter Travel Dates</t>
  </si>
  <si>
    <t>Filter Issue Dates</t>
  </si>
  <si>
    <t>From</t>
  </si>
  <si>
    <t>To</t>
  </si>
  <si>
    <t>Fom</t>
  </si>
  <si>
    <t>Export Options</t>
  </si>
  <si>
    <t>pdf/excel</t>
  </si>
  <si>
    <t>Total Ticket's</t>
  </si>
  <si>
    <t>Total Sale Amount</t>
  </si>
  <si>
    <t>Total Agent Fare</t>
  </si>
  <si>
    <t>Total MarkUP</t>
  </si>
  <si>
    <t>Opening B/L</t>
  </si>
  <si>
    <t>Closing B/L</t>
  </si>
  <si>
    <t>Total Cus RFND</t>
  </si>
  <si>
    <t>Total Agent RFND</t>
  </si>
  <si>
    <t>Add/Hide Options,</t>
  </si>
  <si>
    <t>Mark UP amount Should be hide/add on report</t>
  </si>
  <si>
    <t>Customer Refund Should be hide/add on report</t>
  </si>
  <si>
    <t xml:space="preserve">Customer Amount Should be hide/add on report </t>
  </si>
  <si>
    <t>This portion need to be added on Bottom Left corner of the last page 
of a statement or sales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</si>
</sst>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_);_(* \(#,##0.00\);_(* &quot;-&quot;_);_(@_)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indexed="64"/>
      </right>
      <top/>
      <bottom style="thin">
        <color theme="2" tint="-0.249977111117893"/>
      </bottom>
      <diagonal/>
    </border>
    <border>
      <left style="thin">
        <color indexed="64"/>
      </left>
      <right style="thin">
        <color indexed="64"/>
      </right>
      <top/>
      <bottom style="thin">
        <color theme="2" tint="-0.249977111117893"/>
      </bottom>
      <diagonal/>
    </border>
    <border>
      <left style="thin">
        <color indexed="64"/>
      </left>
      <right style="thin">
        <color indexed="64"/>
      </right>
      <top style="thin">
        <color theme="2" tint="-0.249977111117893"/>
      </top>
      <bottom style="medium">
        <color indexed="64"/>
      </bottom>
      <diagonal/>
    </border>
    <border>
      <left style="thin">
        <color indexed="64"/>
      </left>
      <right/>
      <top style="thin">
        <color theme="2" tint="-0.249977111117893"/>
      </top>
      <bottom style="medium">
        <color indexed="64"/>
      </bottom>
      <diagonal/>
    </border>
    <border>
      <left/>
      <right/>
      <top style="thin">
        <color theme="2" tint="-0.249977111117893"/>
      </top>
      <bottom style="medium">
        <color indexed="64"/>
      </bottom>
      <diagonal/>
    </border>
    <border>
      <left/>
      <right style="thin">
        <color indexed="64"/>
      </right>
      <top style="thin">
        <color theme="2" tint="-0.24997711111789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6" xfId="0" applyBorder="1"/>
    <xf numFmtId="0" fontId="0" fillId="0" borderId="1" xfId="0" applyFill="1" applyBorder="1" applyAlignment="1">
      <alignment horizontal="center" vertical="center"/>
    </xf>
    <xf numFmtId="15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5" fontId="0" fillId="0" borderId="11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 wrapText="1"/>
    </xf>
    <xf numFmtId="43" fontId="0" fillId="0" borderId="12" xfId="0" applyNumberFormat="1" applyBorder="1" applyAlignment="1">
      <alignment vertical="center" wrapText="1"/>
    </xf>
    <xf numFmtId="43" fontId="0" fillId="0" borderId="12" xfId="0" applyNumberFormat="1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/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15" fontId="0" fillId="0" borderId="16" xfId="0" applyNumberFormat="1" applyBorder="1" applyAlignment="1">
      <alignment horizontal="center" vertical="center"/>
    </xf>
    <xf numFmtId="0" fontId="0" fillId="0" borderId="17" xfId="0" applyBorder="1"/>
    <xf numFmtId="0" fontId="0" fillId="0" borderId="0" xfId="0" applyBorder="1"/>
    <xf numFmtId="0" fontId="1" fillId="0" borderId="7" xfId="0" applyFont="1" applyBorder="1" applyAlignment="1">
      <alignment horizontal="right" vertical="center"/>
    </xf>
    <xf numFmtId="0" fontId="1" fillId="0" borderId="0" xfId="0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0" fontId="1" fillId="0" borderId="0" xfId="0" applyFont="1" applyBorder="1" applyAlignment="1">
      <alignment horizontal="right"/>
    </xf>
    <xf numFmtId="0" fontId="1" fillId="0" borderId="18" xfId="0" applyFont="1" applyBorder="1" applyAlignment="1">
      <alignment horizontal="right"/>
    </xf>
    <xf numFmtId="0" fontId="0" fillId="0" borderId="0" xfId="0" applyAlignment="1"/>
    <xf numFmtId="0" fontId="4" fillId="0" borderId="0" xfId="0" applyFont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18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468924</xdr:colOff>
      <xdr:row>2</xdr:row>
      <xdr:rowOff>227135</xdr:rowOff>
    </xdr:from>
    <xdr:ext cx="1985596" cy="63744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48E8471-C943-BC14-242C-8F77DE5798F8}"/>
            </a:ext>
          </a:extLst>
        </xdr:cNvPr>
        <xdr:cNvSpPr txBox="1"/>
      </xdr:nvSpPr>
      <xdr:spPr>
        <a:xfrm>
          <a:off x="12441116" y="703385"/>
          <a:ext cx="1985596" cy="6374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F5BA5-0171-40FC-B87B-51F34ED9C784}">
  <sheetPr>
    <pageSetUpPr fitToPage="1"/>
  </sheetPr>
  <dimension ref="A1:P27"/>
  <sheetViews>
    <sheetView showGridLines="0" tabSelected="1" zoomScale="130" zoomScaleNormal="130" workbookViewId="0">
      <pane ySplit="4" topLeftCell="A9" activePane="bottomLeft" state="frozen"/>
      <selection pane="bottomLeft" activeCell="J30" sqref="J30"/>
    </sheetView>
  </sheetViews>
  <sheetFormatPr defaultRowHeight="15" x14ac:dyDescent="0.25"/>
  <cols>
    <col min="1" max="1" width="11" customWidth="1"/>
    <col min="2" max="2" width="16.140625" bestFit="1" customWidth="1"/>
    <col min="3" max="3" width="27.5703125" bestFit="1" customWidth="1"/>
    <col min="4" max="4" width="11.140625" customWidth="1"/>
    <col min="5" max="5" width="18.140625" customWidth="1"/>
    <col min="6" max="6" width="13.42578125" customWidth="1"/>
    <col min="7" max="13" width="10" customWidth="1"/>
    <col min="14" max="14" width="12.140625" customWidth="1"/>
  </cols>
  <sheetData>
    <row r="1" spans="1:16" ht="22.5" customHeight="1" x14ac:dyDescent="0.25">
      <c r="A1" s="6" t="s">
        <v>52</v>
      </c>
      <c r="B1" s="7"/>
      <c r="C1" s="8" t="s">
        <v>53</v>
      </c>
      <c r="D1" s="11"/>
      <c r="E1" s="31" t="s">
        <v>54</v>
      </c>
      <c r="F1" s="10"/>
      <c r="G1" s="29" t="s">
        <v>55</v>
      </c>
      <c r="H1" s="30"/>
      <c r="I1" s="9" t="s">
        <v>57</v>
      </c>
      <c r="J1" s="12" t="s">
        <v>58</v>
      </c>
      <c r="K1" s="30" t="s">
        <v>56</v>
      </c>
      <c r="L1" s="30"/>
      <c r="M1" s="9" t="s">
        <v>59</v>
      </c>
      <c r="N1" s="12" t="s">
        <v>58</v>
      </c>
    </row>
    <row r="3" spans="1:16" ht="22.5" customHeight="1" x14ac:dyDescent="0.25">
      <c r="A3" s="1" t="s">
        <v>0</v>
      </c>
      <c r="B3" s="1" t="s">
        <v>1</v>
      </c>
      <c r="C3" s="1" t="s">
        <v>10</v>
      </c>
      <c r="D3" s="1" t="s">
        <v>13</v>
      </c>
      <c r="E3" s="1" t="s">
        <v>3</v>
      </c>
      <c r="F3" s="1" t="s">
        <v>4</v>
      </c>
      <c r="G3" s="2" t="s">
        <v>6</v>
      </c>
      <c r="H3" s="2" t="s">
        <v>26</v>
      </c>
      <c r="I3" s="3" t="s">
        <v>7</v>
      </c>
      <c r="J3" s="2" t="s">
        <v>34</v>
      </c>
      <c r="K3" s="2" t="s">
        <v>35</v>
      </c>
      <c r="L3" s="4" t="s">
        <v>36</v>
      </c>
      <c r="M3" s="2" t="s">
        <v>28</v>
      </c>
      <c r="N3" s="1" t="s">
        <v>8</v>
      </c>
    </row>
    <row r="4" spans="1:16" ht="22.5" customHeight="1" x14ac:dyDescent="0.25">
      <c r="A4" s="1" t="s">
        <v>12</v>
      </c>
      <c r="B4" s="1" t="s">
        <v>9</v>
      </c>
      <c r="C4" s="1" t="s">
        <v>2</v>
      </c>
      <c r="D4" s="1" t="s">
        <v>14</v>
      </c>
      <c r="E4" s="1" t="s">
        <v>11</v>
      </c>
      <c r="F4" s="1" t="s">
        <v>5</v>
      </c>
      <c r="G4" s="2"/>
      <c r="H4" s="2"/>
      <c r="I4" s="3"/>
      <c r="J4" s="3"/>
      <c r="K4" s="3"/>
      <c r="L4" s="5"/>
      <c r="M4" s="3"/>
      <c r="N4" s="1" t="s">
        <v>15</v>
      </c>
    </row>
    <row r="5" spans="1:16" ht="16.5" customHeight="1" thickBot="1" x14ac:dyDescent="0.3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8"/>
    </row>
    <row r="6" spans="1:16" ht="22.5" customHeight="1" x14ac:dyDescent="0.25">
      <c r="A6" s="13">
        <v>46082</v>
      </c>
      <c r="B6" s="14" t="s">
        <v>17</v>
      </c>
      <c r="C6" s="14" t="s">
        <v>20</v>
      </c>
      <c r="D6" s="14" t="s">
        <v>21</v>
      </c>
      <c r="E6" s="14" t="s">
        <v>23</v>
      </c>
      <c r="F6" s="15">
        <v>46122</v>
      </c>
      <c r="G6" s="16">
        <v>2820</v>
      </c>
      <c r="H6" s="17">
        <v>2700</v>
      </c>
      <c r="I6" s="17">
        <f>G6-H6</f>
        <v>120</v>
      </c>
      <c r="J6" s="17"/>
      <c r="K6" s="17"/>
      <c r="L6" s="17"/>
      <c r="M6" s="18">
        <f>G6</f>
        <v>2820</v>
      </c>
      <c r="N6" s="19" t="s">
        <v>29</v>
      </c>
      <c r="O6" s="28"/>
    </row>
    <row r="7" spans="1:16" ht="22.5" customHeight="1" thickBot="1" x14ac:dyDescent="0.3">
      <c r="A7" s="21" t="s">
        <v>16</v>
      </c>
      <c r="B7" s="22" t="s">
        <v>18</v>
      </c>
      <c r="C7" s="22" t="s">
        <v>19</v>
      </c>
      <c r="D7" s="22" t="s">
        <v>22</v>
      </c>
      <c r="E7" s="22" t="s">
        <v>24</v>
      </c>
      <c r="F7" s="23" t="s">
        <v>25</v>
      </c>
      <c r="G7" s="24" t="s">
        <v>27</v>
      </c>
      <c r="H7" s="24" t="s">
        <v>27</v>
      </c>
      <c r="I7" s="24" t="s">
        <v>27</v>
      </c>
      <c r="J7" s="24"/>
      <c r="K7" s="24"/>
      <c r="L7" s="24"/>
      <c r="M7" s="24" t="s">
        <v>27</v>
      </c>
      <c r="N7" s="25" t="s">
        <v>30</v>
      </c>
      <c r="O7" s="28"/>
      <c r="P7" s="34"/>
    </row>
    <row r="8" spans="1:16" ht="22.5" customHeight="1" x14ac:dyDescent="0.25">
      <c r="A8" s="13">
        <v>46082</v>
      </c>
      <c r="B8" s="14" t="s">
        <v>31</v>
      </c>
      <c r="C8" s="14" t="s">
        <v>20</v>
      </c>
      <c r="D8" s="14" t="s">
        <v>21</v>
      </c>
      <c r="E8" s="14" t="s">
        <v>23</v>
      </c>
      <c r="F8" s="15">
        <v>46122</v>
      </c>
      <c r="G8" s="16">
        <v>2820</v>
      </c>
      <c r="H8" s="17">
        <v>2700</v>
      </c>
      <c r="I8" s="17">
        <f>G8-H8</f>
        <v>120</v>
      </c>
      <c r="J8" s="17"/>
      <c r="K8" s="17"/>
      <c r="L8" s="17"/>
      <c r="M8" s="18">
        <f>M6+H8</f>
        <v>5520</v>
      </c>
      <c r="N8" s="19" t="s">
        <v>29</v>
      </c>
      <c r="O8" s="28"/>
    </row>
    <row r="9" spans="1:16" ht="22.5" customHeight="1" thickBot="1" x14ac:dyDescent="0.3">
      <c r="A9" s="21" t="s">
        <v>16</v>
      </c>
      <c r="B9" s="22" t="s">
        <v>18</v>
      </c>
      <c r="C9" s="22" t="s">
        <v>32</v>
      </c>
      <c r="D9" s="22" t="s">
        <v>33</v>
      </c>
      <c r="E9" s="22" t="s">
        <v>24</v>
      </c>
      <c r="F9" s="23" t="s">
        <v>25</v>
      </c>
      <c r="G9" s="24" t="s">
        <v>27</v>
      </c>
      <c r="H9" s="24" t="s">
        <v>27</v>
      </c>
      <c r="I9" s="24" t="s">
        <v>27</v>
      </c>
      <c r="J9" s="24"/>
      <c r="K9" s="24"/>
      <c r="L9" s="24"/>
      <c r="M9" s="24" t="s">
        <v>27</v>
      </c>
      <c r="N9" s="25" t="s">
        <v>30</v>
      </c>
      <c r="O9" s="28"/>
    </row>
    <row r="10" spans="1:16" ht="22.5" customHeight="1" x14ac:dyDescent="0.25">
      <c r="A10" s="13">
        <v>46082</v>
      </c>
      <c r="B10" s="14"/>
      <c r="C10" s="14"/>
      <c r="D10" s="14"/>
      <c r="E10" s="14"/>
      <c r="F10" s="15"/>
      <c r="G10" s="16"/>
      <c r="H10" s="17"/>
      <c r="I10" s="17"/>
      <c r="J10" s="17"/>
      <c r="K10" s="17"/>
      <c r="L10" s="17">
        <v>5000</v>
      </c>
      <c r="M10" s="18">
        <f>M8-L10</f>
        <v>520</v>
      </c>
      <c r="N10" s="19" t="s">
        <v>29</v>
      </c>
    </row>
    <row r="11" spans="1:16" ht="22.5" customHeight="1" thickBot="1" x14ac:dyDescent="0.3">
      <c r="A11" s="21" t="s">
        <v>37</v>
      </c>
      <c r="B11" s="22" t="s">
        <v>38</v>
      </c>
      <c r="C11" s="22"/>
      <c r="D11" s="22"/>
      <c r="E11" s="22"/>
      <c r="F11" s="23"/>
      <c r="G11" s="24"/>
      <c r="H11" s="24"/>
      <c r="I11" s="24"/>
      <c r="J11" s="24"/>
      <c r="K11" s="24"/>
      <c r="L11" s="24" t="s">
        <v>27</v>
      </c>
      <c r="M11" s="24" t="s">
        <v>27</v>
      </c>
      <c r="N11" s="25" t="s">
        <v>25</v>
      </c>
    </row>
    <row r="12" spans="1:16" ht="22.5" customHeight="1" x14ac:dyDescent="0.25">
      <c r="A12" s="13">
        <v>46086</v>
      </c>
      <c r="B12" s="14" t="s">
        <v>39</v>
      </c>
      <c r="C12" s="14" t="s">
        <v>41</v>
      </c>
      <c r="D12" s="14" t="s">
        <v>45</v>
      </c>
      <c r="E12" s="14" t="s">
        <v>49</v>
      </c>
      <c r="F12" s="15">
        <v>46122</v>
      </c>
      <c r="G12" s="16">
        <v>3500</v>
      </c>
      <c r="H12" s="17">
        <v>3400</v>
      </c>
      <c r="I12" s="17">
        <f>G12-H12</f>
        <v>100</v>
      </c>
      <c r="J12" s="17"/>
      <c r="K12" s="17"/>
      <c r="L12" s="17"/>
      <c r="M12" s="18">
        <f>M10+H12</f>
        <v>3920</v>
      </c>
      <c r="N12" s="19" t="s">
        <v>29</v>
      </c>
    </row>
    <row r="13" spans="1:16" ht="22.5" customHeight="1" thickBot="1" x14ac:dyDescent="0.3">
      <c r="A13" s="21" t="s">
        <v>16</v>
      </c>
      <c r="B13" s="22" t="s">
        <v>40</v>
      </c>
      <c r="C13" s="22" t="s">
        <v>42</v>
      </c>
      <c r="D13" s="22" t="s">
        <v>46</v>
      </c>
      <c r="E13" s="22" t="s">
        <v>24</v>
      </c>
      <c r="F13" s="26">
        <v>46127</v>
      </c>
      <c r="G13" s="24" t="s">
        <v>27</v>
      </c>
      <c r="H13" s="24" t="s">
        <v>27</v>
      </c>
      <c r="I13" s="24" t="s">
        <v>27</v>
      </c>
      <c r="J13" s="24"/>
      <c r="K13" s="24"/>
      <c r="L13" s="24"/>
      <c r="M13" s="24" t="s">
        <v>27</v>
      </c>
      <c r="N13" s="25" t="s">
        <v>30</v>
      </c>
    </row>
    <row r="14" spans="1:16" ht="22.5" customHeight="1" x14ac:dyDescent="0.25">
      <c r="A14" s="13">
        <v>46086</v>
      </c>
      <c r="B14" s="14" t="s">
        <v>43</v>
      </c>
      <c r="C14" s="14" t="s">
        <v>41</v>
      </c>
      <c r="D14" s="14" t="s">
        <v>45</v>
      </c>
      <c r="E14" s="14" t="s">
        <v>49</v>
      </c>
      <c r="F14" s="15">
        <v>46122</v>
      </c>
      <c r="G14" s="16">
        <v>3500</v>
      </c>
      <c r="H14" s="17">
        <v>3400</v>
      </c>
      <c r="I14" s="17">
        <f>G14-H14</f>
        <v>100</v>
      </c>
      <c r="J14" s="17"/>
      <c r="K14" s="17"/>
      <c r="L14" s="17"/>
      <c r="M14" s="18">
        <f>M12+H14</f>
        <v>7320</v>
      </c>
      <c r="N14" s="19" t="s">
        <v>29</v>
      </c>
    </row>
    <row r="15" spans="1:16" ht="22.5" customHeight="1" thickBot="1" x14ac:dyDescent="0.3">
      <c r="A15" s="21" t="s">
        <v>16</v>
      </c>
      <c r="B15" s="22" t="s">
        <v>40</v>
      </c>
      <c r="C15" s="22" t="s">
        <v>44</v>
      </c>
      <c r="D15" s="22" t="s">
        <v>47</v>
      </c>
      <c r="E15" s="22" t="s">
        <v>24</v>
      </c>
      <c r="F15" s="26">
        <v>46127</v>
      </c>
      <c r="G15" s="24" t="s">
        <v>27</v>
      </c>
      <c r="H15" s="24" t="s">
        <v>27</v>
      </c>
      <c r="I15" s="24" t="s">
        <v>27</v>
      </c>
      <c r="J15" s="24"/>
      <c r="K15" s="24"/>
      <c r="L15" s="24"/>
      <c r="M15" s="24" t="s">
        <v>27</v>
      </c>
      <c r="N15" s="25" t="s">
        <v>30</v>
      </c>
    </row>
    <row r="16" spans="1:16" ht="22.5" customHeight="1" x14ac:dyDescent="0.25">
      <c r="A16" s="13">
        <v>46086</v>
      </c>
      <c r="B16" s="14" t="s">
        <v>39</v>
      </c>
      <c r="C16" s="14" t="s">
        <v>41</v>
      </c>
      <c r="D16" s="14" t="s">
        <v>45</v>
      </c>
      <c r="E16" s="14" t="s">
        <v>48</v>
      </c>
      <c r="F16" s="15"/>
      <c r="G16" s="16"/>
      <c r="H16" s="17"/>
      <c r="I16" s="17">
        <f>K16-J16</f>
        <v>200</v>
      </c>
      <c r="J16" s="17">
        <v>800</v>
      </c>
      <c r="K16" s="17">
        <v>1000</v>
      </c>
      <c r="L16" s="17"/>
      <c r="M16" s="18">
        <f>M14-K16</f>
        <v>6320</v>
      </c>
      <c r="N16" s="19" t="s">
        <v>29</v>
      </c>
    </row>
    <row r="17" spans="1:14" ht="22.5" customHeight="1" thickBot="1" x14ac:dyDescent="0.3">
      <c r="A17" s="21" t="s">
        <v>50</v>
      </c>
      <c r="B17" s="22" t="s">
        <v>40</v>
      </c>
      <c r="C17" s="22" t="s">
        <v>42</v>
      </c>
      <c r="D17" s="22" t="s">
        <v>46</v>
      </c>
      <c r="E17" s="22" t="s">
        <v>24</v>
      </c>
      <c r="F17" s="26">
        <v>46127</v>
      </c>
      <c r="G17" s="24"/>
      <c r="H17" s="24"/>
      <c r="I17" s="24" t="s">
        <v>27</v>
      </c>
      <c r="J17" s="24" t="s">
        <v>27</v>
      </c>
      <c r="K17" s="24" t="s">
        <v>27</v>
      </c>
      <c r="L17" s="24"/>
      <c r="M17" s="24" t="s">
        <v>27</v>
      </c>
      <c r="N17" s="25" t="s">
        <v>30</v>
      </c>
    </row>
    <row r="18" spans="1:14" ht="22.5" customHeight="1" x14ac:dyDescent="0.25">
      <c r="A18" s="13">
        <v>46087</v>
      </c>
      <c r="B18" s="14"/>
      <c r="C18" s="14"/>
      <c r="D18" s="14"/>
      <c r="E18" s="14"/>
      <c r="F18" s="15"/>
      <c r="G18" s="16"/>
      <c r="H18" s="17"/>
      <c r="I18" s="17"/>
      <c r="J18" s="17"/>
      <c r="K18" s="17"/>
      <c r="L18" s="17">
        <v>6320</v>
      </c>
      <c r="M18" s="18">
        <f>M16-L18</f>
        <v>0</v>
      </c>
      <c r="N18" s="19" t="s">
        <v>29</v>
      </c>
    </row>
    <row r="19" spans="1:14" ht="22.5" customHeight="1" thickBot="1" x14ac:dyDescent="0.3">
      <c r="A19" s="21" t="s">
        <v>37</v>
      </c>
      <c r="B19" s="22" t="s">
        <v>51</v>
      </c>
      <c r="C19" s="22"/>
      <c r="D19" s="22"/>
      <c r="E19" s="22"/>
      <c r="F19" s="23"/>
      <c r="G19" s="24"/>
      <c r="H19" s="24"/>
      <c r="I19" s="24"/>
      <c r="J19" s="24"/>
      <c r="K19" s="24"/>
      <c r="L19" s="24" t="s">
        <v>27</v>
      </c>
      <c r="M19" s="24" t="s">
        <v>27</v>
      </c>
      <c r="N19" s="25" t="s">
        <v>25</v>
      </c>
    </row>
    <row r="20" spans="1:14" ht="15.75" thickBot="1" x14ac:dyDescent="0.3"/>
    <row r="21" spans="1:14" ht="15.75" thickBot="1" x14ac:dyDescent="0.3">
      <c r="I21" s="32" t="s">
        <v>60</v>
      </c>
      <c r="J21" s="33"/>
      <c r="K21" s="27" t="s">
        <v>61</v>
      </c>
    </row>
    <row r="22" spans="1:14" x14ac:dyDescent="0.25">
      <c r="A22" s="36" t="s">
        <v>66</v>
      </c>
      <c r="B22" s="37"/>
      <c r="C22" s="38" t="s">
        <v>67</v>
      </c>
    </row>
    <row r="23" spans="1:14" x14ac:dyDescent="0.25">
      <c r="A23" s="39" t="s">
        <v>62</v>
      </c>
      <c r="B23" s="28"/>
      <c r="C23" s="40" t="s">
        <v>64</v>
      </c>
      <c r="J23" s="35" t="s">
        <v>70</v>
      </c>
    </row>
    <row r="24" spans="1:14" x14ac:dyDescent="0.25">
      <c r="A24" s="39" t="s">
        <v>63</v>
      </c>
      <c r="B24" s="28"/>
      <c r="C24" s="40" t="s">
        <v>65</v>
      </c>
      <c r="J24" t="s">
        <v>73</v>
      </c>
    </row>
    <row r="25" spans="1:14" ht="15.75" thickBot="1" x14ac:dyDescent="0.3">
      <c r="A25" s="41" t="s">
        <v>68</v>
      </c>
      <c r="B25" s="42"/>
      <c r="C25" s="43" t="s">
        <v>69</v>
      </c>
      <c r="J25" t="s">
        <v>71</v>
      </c>
    </row>
    <row r="26" spans="1:14" x14ac:dyDescent="0.25">
      <c r="J26" t="s">
        <v>72</v>
      </c>
    </row>
    <row r="27" spans="1:14" x14ac:dyDescent="0.25">
      <c r="A27" s="44" t="s">
        <v>74</v>
      </c>
    </row>
  </sheetData>
  <mergeCells count="11">
    <mergeCell ref="M3:M4"/>
    <mergeCell ref="A1:B1"/>
    <mergeCell ref="G1:H1"/>
    <mergeCell ref="K1:L1"/>
    <mergeCell ref="I21:J21"/>
    <mergeCell ref="K3:K4"/>
    <mergeCell ref="L3:L4"/>
    <mergeCell ref="G3:G4"/>
    <mergeCell ref="H3:H4"/>
    <mergeCell ref="I3:I4"/>
    <mergeCell ref="J3:J4"/>
  </mergeCells>
  <dataValidations count="1">
    <dataValidation type="list" allowBlank="1" showInputMessage="1" showErrorMessage="1" sqref="F1" xr:uid="{2A4B4FBC-C8E6-40F9-8F75-A6E91F89C868}">
      <formula1>"ABC,XYZ,EFD"</formula1>
    </dataValidation>
  </dataValidations>
  <pageMargins left="0.25" right="0.25" top="0.75" bottom="0.75" header="0.3" footer="0.3"/>
  <pageSetup paperSize="9" scale="6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social workers</dc:creator>
  <cp:lastModifiedBy>social workers</cp:lastModifiedBy>
  <cp:lastPrinted>2026-04-02T15:41:08Z</cp:lastPrinted>
  <dcterms:created xsi:type="dcterms:W3CDTF">2026-04-02T14:10:47Z</dcterms:created>
  <dcterms:modified xsi:type="dcterms:W3CDTF">2026-04-02T15:52:09Z</dcterms:modified>
</cp:coreProperties>
</file>